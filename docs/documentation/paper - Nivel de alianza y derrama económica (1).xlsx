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cropaymxmxmx-my.sharepoint.com/personal/alberto_siurob_macropay_mx/Documents/Documentos/"/>
    </mc:Choice>
  </mc:AlternateContent>
  <xr:revisionPtr revIDLastSave="277" documentId="8_{307A5AFC-B221-4752-907B-E20D803ACC7C}" xr6:coauthVersionLast="47" xr6:coauthVersionMax="47" xr10:uidLastSave="{CF89707A-AE97-4820-A003-BFCC09FD32E7}"/>
  <bookViews>
    <workbookView xWindow="-108" yWindow="-108" windowWidth="23256" windowHeight="12576" activeTab="1" xr2:uid="{2B42303A-1797-400D-AF86-2D32791C7901}"/>
  </bookViews>
  <sheets>
    <sheet name="Beneficios de alianza" sheetId="1" r:id="rId1"/>
    <sheet name="Proyección económic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D20" i="2"/>
  <c r="E17" i="2"/>
  <c r="F17" i="2"/>
  <c r="E18" i="2"/>
  <c r="F18" i="2"/>
  <c r="E19" i="2"/>
  <c r="F19" i="2"/>
  <c r="F16" i="2"/>
  <c r="E16" i="2"/>
  <c r="H11" i="2"/>
  <c r="F10" i="2"/>
  <c r="J10" i="2" s="1"/>
  <c r="M10" i="2" s="1"/>
  <c r="E10" i="2"/>
  <c r="F9" i="2"/>
  <c r="J9" i="2" s="1"/>
  <c r="M9" i="2" s="1"/>
  <c r="E9" i="2"/>
  <c r="I9" i="2" s="1"/>
  <c r="L9" i="2" s="1"/>
  <c r="F8" i="2"/>
  <c r="J8" i="2" s="1"/>
  <c r="M8" i="2" s="1"/>
  <c r="E8" i="2"/>
  <c r="F7" i="2"/>
  <c r="J7" i="2" s="1"/>
  <c r="M7" i="2" s="1"/>
  <c r="E7" i="2"/>
  <c r="I7" i="2" s="1"/>
  <c r="L7" i="2" s="1"/>
  <c r="F20" i="2" l="1"/>
  <c r="E20" i="2"/>
  <c r="G10" i="2"/>
  <c r="K10" i="2" s="1"/>
  <c r="N10" i="2" s="1"/>
  <c r="G8" i="2"/>
  <c r="K8" i="2" s="1"/>
  <c r="N8" i="2" s="1"/>
  <c r="M11" i="2"/>
  <c r="F11" i="2"/>
  <c r="J11" i="2"/>
  <c r="E11" i="2"/>
  <c r="I10" i="2"/>
  <c r="L10" i="2" s="1"/>
  <c r="G9" i="2"/>
  <c r="K9" i="2" s="1"/>
  <c r="N9" i="2" s="1"/>
  <c r="I8" i="2"/>
  <c r="L8" i="2" s="1"/>
  <c r="G7" i="2"/>
  <c r="L11" i="2" l="1"/>
  <c r="I11" i="2"/>
  <c r="K7" i="2"/>
  <c r="G11" i="2"/>
  <c r="N7" i="2" l="1"/>
  <c r="N11" i="2" s="1"/>
  <c r="K11" i="2"/>
</calcChain>
</file>

<file path=xl/sharedStrings.xml><?xml version="1.0" encoding="utf-8"?>
<sst xmlns="http://schemas.openxmlformats.org/spreadsheetml/2006/main" count="93" uniqueCount="59">
  <si>
    <t>Beneficios</t>
  </si>
  <si>
    <t>Basic Alliance</t>
  </si>
  <si>
    <t>Advanced Alliance</t>
  </si>
  <si>
    <t>Master Alliance</t>
  </si>
  <si>
    <t>Partner Alliance</t>
  </si>
  <si>
    <t>Haber tenido mínimo 10 suscripciones referenciadas en la lista de espera</t>
  </si>
  <si>
    <t>Haber tenido mínimo 50 suscripciones referenciadas en la lista de espera</t>
  </si>
  <si>
    <t>Contribuir con detección y reporteo de errores encontrados</t>
  </si>
  <si>
    <t>10-25 usuarios activos y recurrentes durante la fase beta y posterior</t>
  </si>
  <si>
    <t>Contrubición con la base de conocimiento, mínimo 2 entradas al mes</t>
  </si>
  <si>
    <t>Contrubición con la base de conocimiento, mínimo 5 entradas al mes</t>
  </si>
  <si>
    <t>251+ usuarios activos y recurrentes</t>
  </si>
  <si>
    <t>Haber tenido mínimo 200 suscripciones referenciadas en la lista de espera (Opcional de ser necesario)</t>
  </si>
  <si>
    <t>Haber tenido mínimo 150 suscripciones referenciadas en la lista de espera (Opcional de ser necesario)</t>
  </si>
  <si>
    <t>26-75 usuarios activos y recurrentes durante la fase beta y posterior</t>
  </si>
  <si>
    <r>
      <rPr>
        <b/>
        <sz val="10"/>
        <color theme="1"/>
        <rFont val="Arial"/>
        <family val="2"/>
      </rPr>
      <t>Fase de pruebas</t>
    </r>
    <r>
      <rPr>
        <sz val="10"/>
        <color theme="1"/>
        <rFont val="Arial"/>
        <family val="2"/>
      </rPr>
      <t>: Uso sin costo de la plataforma durante la fase Beta</t>
    </r>
  </si>
  <si>
    <r>
      <rPr>
        <b/>
        <sz val="10"/>
        <color theme="1"/>
        <rFont val="Arial"/>
        <family val="2"/>
      </rPr>
      <t>Fase de agradecimiento</t>
    </r>
    <r>
      <rPr>
        <sz val="10"/>
        <color theme="1"/>
        <rFont val="Arial"/>
        <family val="2"/>
      </rPr>
      <t>: Uso sin costo de la plataforma durante los 2 primeros meses de haber finalizado la fase de pruebas</t>
    </r>
  </si>
  <si>
    <t>Requisitos</t>
  </si>
  <si>
    <r>
      <rPr>
        <b/>
        <sz val="10"/>
        <color theme="1"/>
        <rFont val="Arial"/>
        <family val="2"/>
      </rPr>
      <t>Fase de pruebas</t>
    </r>
    <r>
      <rPr>
        <sz val="10"/>
        <color theme="1"/>
        <rFont val="Arial"/>
        <family val="2"/>
      </rPr>
      <t>: Uso sin costo de la plataforma durante las fases Alpha y Beta</t>
    </r>
  </si>
  <si>
    <t>Minería de datos desde el lanzamiento Alpha y 3 meses posteriores del lanzamiento oficial. Hasta 8 reportes por mes (No acceso a datos financieros de suntUS, de competencia por expertos ni de alta sensibilidad personal)</t>
  </si>
  <si>
    <t>Minería de datos desde el lanzamiento Alpha y 6 meses posteriores del lanzamiento oficial. Hasta 8 reportes por mes (No acceso a datos financieros de suntUS,  ni de alta sensibilidad personal)</t>
  </si>
  <si>
    <t>Minería de datos desde el lanzamiento Alpha y 12 meses posteriores. Hasta 8 reportes por mes (No acceso a datos financieros de suntUS, No acceso a datos de competencia)</t>
  </si>
  <si>
    <t>Beneficios del plan Master que ofrece la app 6 meses posteriores al finalizar la fase de integración</t>
  </si>
  <si>
    <t>Derrama</t>
  </si>
  <si>
    <r>
      <rPr>
        <b/>
        <sz val="10"/>
        <color theme="1"/>
        <rFont val="Arial"/>
        <family val="2"/>
      </rPr>
      <t>Fase de integración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($250)</t>
    </r>
    <r>
      <rPr>
        <sz val="10"/>
        <color theme="1"/>
        <rFont val="Arial"/>
        <family val="2"/>
      </rPr>
      <t xml:space="preserve">: Se consideran 10 usuarios contratando un servicio (Nutrición o Deportivo) de $50, esto al 50% de descuento durante dos meses
</t>
    </r>
    <r>
      <rPr>
        <b/>
        <sz val="10"/>
        <color theme="1"/>
        <rFont val="Arial"/>
        <family val="2"/>
      </rPr>
      <t>Derrama máxima ($1,250)</t>
    </r>
    <r>
      <rPr>
        <sz val="10"/>
        <color theme="1"/>
        <rFont val="Arial"/>
        <family val="2"/>
      </rPr>
      <t>: Se consideran 25 usuarios contratando ambos servicios (Nutrición y Deportivo) de $100 por ambos, esto al 50% de descuento durante dos meses</t>
    </r>
  </si>
  <si>
    <r>
      <rPr>
        <b/>
        <sz val="10"/>
        <color theme="1"/>
        <rFont val="Arial"/>
        <family val="2"/>
      </rPr>
      <t>Fase de productividad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($500)</t>
    </r>
    <r>
      <rPr>
        <sz val="10"/>
        <color theme="1"/>
        <rFont val="Arial"/>
        <family val="2"/>
      </rPr>
      <t xml:space="preserve">: Se consideran 10 usuarios contratando un servicio (Nutrición o Deportivo) de $50
</t>
    </r>
    <r>
      <rPr>
        <b/>
        <sz val="10"/>
        <color theme="1"/>
        <rFont val="Arial"/>
        <family val="2"/>
      </rPr>
      <t>Derrama máxima ($2,500)</t>
    </r>
    <r>
      <rPr>
        <sz val="10"/>
        <color theme="1"/>
        <rFont val="Arial"/>
        <family val="2"/>
      </rPr>
      <t>: Se consideran 25 usuarios contratando ambos servicios (Nutrición y Deportivo) de $100 por ambos</t>
    </r>
  </si>
  <si>
    <r>
      <t xml:space="preserve">Fase de pruebas
</t>
    </r>
    <r>
      <rPr>
        <sz val="10"/>
        <color theme="1"/>
        <rFont val="Arial"/>
        <family val="2"/>
      </rPr>
      <t>Al ser una fase gratuita la derrama será de $0</t>
    </r>
  </si>
  <si>
    <t>Beneficios del plan Basic siempre y cuando mantenga la recurrencia de usuarios</t>
  </si>
  <si>
    <r>
      <t xml:space="preserve">Fase de agradecimiento
</t>
    </r>
    <r>
      <rPr>
        <sz val="10"/>
        <color theme="1"/>
        <rFont val="Arial"/>
        <family val="2"/>
      </rPr>
      <t>Al ser una fase gratuita la derrama será de $0</t>
    </r>
  </si>
  <si>
    <r>
      <rPr>
        <b/>
        <sz val="10"/>
        <color theme="1"/>
        <rFont val="Arial"/>
        <family val="2"/>
      </rPr>
      <t>Fase de agradecimiento</t>
    </r>
    <r>
      <rPr>
        <sz val="10"/>
        <color theme="1"/>
        <rFont val="Arial"/>
        <family val="2"/>
      </rPr>
      <t>: Uso sin costo de la plataforma durante el primer mes de haber finalizado la fase de pruebas</t>
    </r>
  </si>
  <si>
    <r>
      <rPr>
        <b/>
        <sz val="10"/>
        <color theme="1"/>
        <rFont val="Arial"/>
        <family val="2"/>
      </rPr>
      <t>Fase de productividad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($1300)</t>
    </r>
    <r>
      <rPr>
        <sz val="10"/>
        <color theme="1"/>
        <rFont val="Arial"/>
        <family val="2"/>
      </rPr>
      <t xml:space="preserve">: Se consideran 26 usuarios contratando un servicio (Nutrición o Deportivo) de $50
</t>
    </r>
    <r>
      <rPr>
        <b/>
        <sz val="10"/>
        <color theme="1"/>
        <rFont val="Arial"/>
        <family val="2"/>
      </rPr>
      <t>Derrama máxima ($7,500)</t>
    </r>
    <r>
      <rPr>
        <sz val="10"/>
        <color theme="1"/>
        <rFont val="Arial"/>
        <family val="2"/>
      </rPr>
      <t>: Se consideran 75 usuarios contratando ambos servicios (Nutrición y Deportivo) de $100 por ambos</t>
    </r>
  </si>
  <si>
    <t>Beneficios del plan Advanced siempre y cuando mantenga la recurrencia de usuarios</t>
  </si>
  <si>
    <r>
      <rPr>
        <b/>
        <sz val="10"/>
        <color theme="1"/>
        <rFont val="Arial"/>
        <family val="2"/>
      </rPr>
      <t>Fase de integración</t>
    </r>
    <r>
      <rPr>
        <sz val="10"/>
        <color theme="1"/>
        <rFont val="Arial"/>
        <family val="2"/>
      </rPr>
      <t>: Al finalizar fase de agradecimiento, uso de la plataforma con 50% de descuento durante 2 meses</t>
    </r>
  </si>
  <si>
    <r>
      <rPr>
        <b/>
        <sz val="10"/>
        <color theme="1"/>
        <rFont val="Arial"/>
        <family val="2"/>
      </rPr>
      <t>Fase de integración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($650)</t>
    </r>
    <r>
      <rPr>
        <sz val="10"/>
        <color theme="1"/>
        <rFont val="Arial"/>
        <family val="2"/>
      </rPr>
      <t xml:space="preserve">: Se consideran 26 usuarios contratando un servicio (Nutrición o Deportivo) de $50, esto al 50% de descuento
</t>
    </r>
    <r>
      <rPr>
        <b/>
        <sz val="10"/>
        <color theme="1"/>
        <rFont val="Arial"/>
        <family val="2"/>
      </rPr>
      <t>Derrama máxima ($3,750)</t>
    </r>
    <r>
      <rPr>
        <sz val="10"/>
        <color theme="1"/>
        <rFont val="Arial"/>
        <family val="2"/>
      </rPr>
      <t>: Se consideran 75 usuarios contratando ambos servicios (Nutrición y Deportivo) de $100 por ambos, esto al 50% de descuento</t>
    </r>
  </si>
  <si>
    <r>
      <rPr>
        <b/>
        <sz val="10"/>
        <color theme="1"/>
        <rFont val="Arial"/>
        <family val="2"/>
      </rPr>
      <t>Fase de integración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($1,900)</t>
    </r>
    <r>
      <rPr>
        <sz val="10"/>
        <color theme="1"/>
        <rFont val="Arial"/>
        <family val="2"/>
      </rPr>
      <t xml:space="preserve">: Se consideran 76 usuarios contratando un servicio (Nutrición o Deportivo) de $50, esto al 50% de descuento
</t>
    </r>
    <r>
      <rPr>
        <b/>
        <sz val="10"/>
        <color theme="1"/>
        <rFont val="Arial"/>
        <family val="2"/>
      </rPr>
      <t>Derrama máxima ($12,500)</t>
    </r>
    <r>
      <rPr>
        <sz val="10"/>
        <color theme="1"/>
        <rFont val="Arial"/>
        <family val="2"/>
      </rPr>
      <t>: Se consideran 250 usuarios contratando ambos servicios (Nutrición y Deportivo) de $100 por ambos, esto al 50% de descuento</t>
    </r>
  </si>
  <si>
    <r>
      <rPr>
        <b/>
        <sz val="10"/>
        <color theme="1"/>
        <rFont val="Arial"/>
        <family val="2"/>
      </rPr>
      <t>Fase de productividad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($3,800)</t>
    </r>
    <r>
      <rPr>
        <sz val="10"/>
        <color theme="1"/>
        <rFont val="Arial"/>
        <family val="2"/>
      </rPr>
      <t xml:space="preserve">: Se consideran 76 usuarios contratando un servicio (Nutrición o Deportivo) de $50
</t>
    </r>
    <r>
      <rPr>
        <b/>
        <sz val="10"/>
        <color theme="1"/>
        <rFont val="Arial"/>
        <family val="2"/>
      </rPr>
      <t>Derrama máxima ($25,000)</t>
    </r>
    <r>
      <rPr>
        <sz val="10"/>
        <color theme="1"/>
        <rFont val="Arial"/>
        <family val="2"/>
      </rPr>
      <t>: Se consideran 250 usuarios contratando ambos servicios (Nutrición y Deportivo) de $100 por ambos</t>
    </r>
  </si>
  <si>
    <t>Al mantenerse 1 año con nosotros con la recurrencia de usuarios, posibilidad de incorporación como socio junior (máximo 3% de participación y 3 socios minoritarios, basado en sus aportes extraordinarios al los requisitos)</t>
  </si>
  <si>
    <t>75-250 usuarios activos y recurrentes durante la fase beta y posterior</t>
  </si>
  <si>
    <r>
      <rPr>
        <b/>
        <sz val="10"/>
        <color theme="1"/>
        <rFont val="Arial"/>
        <family val="2"/>
      </rPr>
      <t>Fase de integración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($6,250)</t>
    </r>
    <r>
      <rPr>
        <sz val="10"/>
        <color theme="1"/>
        <rFont val="Arial"/>
        <family val="2"/>
      </rPr>
      <t xml:space="preserve">: Se consideran 250 usuarios contratando un servicio (Nutrición o Deportivo) de $50, esto al 50% de descuento
</t>
    </r>
    <r>
      <rPr>
        <b/>
        <sz val="10"/>
        <color theme="1"/>
        <rFont val="Arial"/>
        <family val="2"/>
      </rPr>
      <t>Derrama máxima (-)</t>
    </r>
    <r>
      <rPr>
        <sz val="10"/>
        <color theme="1"/>
        <rFont val="Arial"/>
        <family val="2"/>
      </rPr>
      <t>: La derrama máxima es variable</t>
    </r>
  </si>
  <si>
    <r>
      <rPr>
        <b/>
        <sz val="10"/>
        <color theme="1"/>
        <rFont val="Arial"/>
        <family val="2"/>
      </rPr>
      <t>Fase de productividad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Derrama mínima ($12,500)</t>
    </r>
    <r>
      <rPr>
        <sz val="10"/>
        <color theme="1"/>
        <rFont val="Arial"/>
        <family val="2"/>
      </rPr>
      <t xml:space="preserve">: Se consideran 76 usuarios contratando un servicio (Nutrición o Deportivo) de $50
</t>
    </r>
    <r>
      <rPr>
        <b/>
        <sz val="10"/>
        <color theme="1"/>
        <rFont val="Arial"/>
        <family val="2"/>
      </rPr>
      <t>Derrama máxima (-)</t>
    </r>
    <r>
      <rPr>
        <sz val="10"/>
        <color theme="1"/>
        <rFont val="Arial"/>
        <family val="2"/>
      </rPr>
      <t>: La derrama máxima es variable</t>
    </r>
  </si>
  <si>
    <r>
      <rPr>
        <b/>
        <sz val="10"/>
        <color theme="1"/>
        <rFont val="Arial"/>
        <family val="2"/>
      </rPr>
      <t>Fase de integración</t>
    </r>
    <r>
      <rPr>
        <sz val="10"/>
        <color theme="1"/>
        <rFont val="Arial"/>
        <family val="2"/>
      </rPr>
      <t>: uso de la plataforma con 50% de descuento durante 2 meses la finalizar al fase de pruebas</t>
    </r>
  </si>
  <si>
    <t>Costo por servicio nutrición</t>
  </si>
  <si>
    <t>Costo por servicio de entrenamiento</t>
  </si>
  <si>
    <t>Mínimo de usuarios</t>
  </si>
  <si>
    <t>Máximo de usuarios</t>
  </si>
  <si>
    <t>Derrama general mínima mensual</t>
  </si>
  <si>
    <t>Derrama unitaria mínima mensual</t>
  </si>
  <si>
    <t>Derrama unitaria máxima mensual</t>
  </si>
  <si>
    <t>Derrama unitaria promedio</t>
  </si>
  <si>
    <t>Derrama general máxima mensual</t>
  </si>
  <si>
    <t>Derrama general promedio mensual</t>
  </si>
  <si>
    <t>Derrama general mínima anual</t>
  </si>
  <si>
    <t>Derrama general máxima anual</t>
  </si>
  <si>
    <t>Derrama general promedio anual</t>
  </si>
  <si>
    <t>Tipo de alianza</t>
  </si>
  <si>
    <t>Totales</t>
  </si>
  <si>
    <t>Expertos esperados</t>
  </si>
  <si>
    <t>Total mínimo usuarios</t>
  </si>
  <si>
    <t>Total máximo usuarios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</si>
</sst>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4"/>
      <color theme="0"/>
      <name val="Arial"/>
      <family val="2"/>
    </font>
    <font>
      <sz val="1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1" fontId="8" fillId="0" borderId="5" xfId="1" applyNumberFormat="1" applyFont="1" applyBorder="1" applyAlignment="1">
      <alignment horizontal="center" vertical="center"/>
    </xf>
    <xf numFmtId="44" fontId="8" fillId="0" borderId="5" xfId="1" applyFont="1" applyBorder="1" applyAlignment="1">
      <alignment horizontal="center" vertical="center"/>
    </xf>
    <xf numFmtId="0" fontId="8" fillId="0" borderId="5" xfId="1" applyNumberFormat="1" applyFont="1" applyBorder="1" applyAlignment="1">
      <alignment horizontal="center" vertical="center"/>
    </xf>
    <xf numFmtId="44" fontId="8" fillId="0" borderId="0" xfId="0" applyNumberFormat="1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1" fontId="11" fillId="2" borderId="5" xfId="1" applyNumberFormat="1" applyFont="1" applyFill="1" applyBorder="1" applyAlignment="1">
      <alignment horizontal="center" vertical="center"/>
    </xf>
    <xf numFmtId="44" fontId="11" fillId="2" borderId="5" xfId="1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 wrapText="1"/>
    </xf>
    <xf numFmtId="44" fontId="8" fillId="0" borderId="5" xfId="1" applyFont="1" applyBorder="1" applyAlignment="1">
      <alignment horizontal="center" vertical="center" wrapText="1"/>
    </xf>
    <xf numFmtId="2" fontId="11" fillId="2" borderId="5" xfId="1" applyNumberFormat="1" applyFont="1" applyFill="1" applyBorder="1" applyAlignment="1">
      <alignment horizontal="center" vertical="center"/>
    </xf>
    <xf numFmtId="3" fontId="8" fillId="0" borderId="5" xfId="0" applyNumberFormat="1" applyFont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3" fontId="12" fillId="2" borderId="5" xfId="0" applyNumberFormat="1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C6A09-0E66-4686-A1F8-5CE1AE3C8F26}">
  <dimension ref="A1:H22"/>
  <sheetViews>
    <sheetView workbookViewId="0">
      <selection activeCell="A14" sqref="A14"/>
    </sheetView>
  </sheetViews>
  <sheetFormatPr baseColWidth="10" defaultRowHeight="13.2" x14ac:dyDescent="0.3"/>
  <cols>
    <col min="1" max="1" width="3.109375" style="5" customWidth="1"/>
    <col min="2" max="2" width="57.77734375" style="6" customWidth="1"/>
    <col min="3" max="3" width="3.5546875" style="5" customWidth="1"/>
    <col min="4" max="4" width="59.88671875" style="6" customWidth="1"/>
    <col min="5" max="5" width="3.33203125" style="5" customWidth="1"/>
    <col min="6" max="6" width="58.109375" style="6" customWidth="1"/>
    <col min="7" max="7" width="2.88671875" style="5" customWidth="1"/>
    <col min="8" max="8" width="58.109375" style="6" customWidth="1"/>
    <col min="9" max="16384" width="11.5546875" style="5"/>
  </cols>
  <sheetData>
    <row r="1" spans="1:8" ht="13.8" thickBot="1" x14ac:dyDescent="0.35"/>
    <row r="2" spans="1:8" s="2" customFormat="1" ht="18" thickBot="1" x14ac:dyDescent="0.35">
      <c r="A2" s="1"/>
      <c r="B2" s="13" t="s">
        <v>1</v>
      </c>
      <c r="C2" s="1"/>
      <c r="D2" s="14" t="s">
        <v>2</v>
      </c>
      <c r="E2" s="1"/>
      <c r="F2" s="13" t="s">
        <v>3</v>
      </c>
      <c r="G2" s="1"/>
      <c r="H2" s="13" t="s">
        <v>4</v>
      </c>
    </row>
    <row r="3" spans="1:8" s="2" customFormat="1" ht="18" thickBot="1" x14ac:dyDescent="0.35">
      <c r="A3" s="1"/>
      <c r="B3" s="8"/>
      <c r="C3" s="1"/>
      <c r="D3" s="8"/>
      <c r="E3" s="1"/>
      <c r="F3" s="8"/>
      <c r="G3" s="1"/>
      <c r="H3" s="8"/>
    </row>
    <row r="4" spans="1:8" s="4" customFormat="1" ht="16.2" thickBot="1" x14ac:dyDescent="0.35">
      <c r="A4" s="3"/>
      <c r="B4" s="12" t="s">
        <v>17</v>
      </c>
      <c r="C4" s="3"/>
      <c r="D4" s="12" t="s">
        <v>17</v>
      </c>
      <c r="E4" s="3"/>
      <c r="F4" s="12" t="s">
        <v>17</v>
      </c>
      <c r="G4" s="3"/>
      <c r="H4" s="12" t="s">
        <v>17</v>
      </c>
    </row>
    <row r="5" spans="1:8" ht="26.4" x14ac:dyDescent="0.3">
      <c r="B5" s="9" t="s">
        <v>8</v>
      </c>
      <c r="D5" s="9" t="s">
        <v>14</v>
      </c>
      <c r="F5" s="9" t="s">
        <v>37</v>
      </c>
      <c r="H5" s="9" t="s">
        <v>11</v>
      </c>
    </row>
    <row r="6" spans="1:8" ht="26.4" x14ac:dyDescent="0.3">
      <c r="B6" s="9" t="s">
        <v>5</v>
      </c>
      <c r="D6" s="9" t="s">
        <v>6</v>
      </c>
      <c r="F6" s="9" t="s">
        <v>13</v>
      </c>
      <c r="H6" s="9" t="s">
        <v>12</v>
      </c>
    </row>
    <row r="7" spans="1:8" x14ac:dyDescent="0.3">
      <c r="B7" s="9"/>
      <c r="D7" s="9" t="s">
        <v>7</v>
      </c>
      <c r="F7" s="9" t="s">
        <v>7</v>
      </c>
      <c r="H7" s="9" t="s">
        <v>7</v>
      </c>
    </row>
    <row r="8" spans="1:8" x14ac:dyDescent="0.3">
      <c r="B8" s="9"/>
      <c r="D8" s="9"/>
      <c r="F8" s="9" t="s">
        <v>9</v>
      </c>
      <c r="H8" s="9" t="s">
        <v>10</v>
      </c>
    </row>
    <row r="9" spans="1:8" ht="13.8" thickBot="1" x14ac:dyDescent="0.35">
      <c r="B9" s="9"/>
      <c r="D9" s="9"/>
      <c r="F9" s="9"/>
      <c r="H9" s="9"/>
    </row>
    <row r="10" spans="1:8" s="4" customFormat="1" ht="16.2" thickBot="1" x14ac:dyDescent="0.35">
      <c r="B10" s="12" t="s">
        <v>0</v>
      </c>
      <c r="D10" s="12" t="s">
        <v>0</v>
      </c>
      <c r="F10" s="12" t="s">
        <v>0</v>
      </c>
      <c r="H10" s="12" t="s">
        <v>0</v>
      </c>
    </row>
    <row r="11" spans="1:8" ht="26.4" x14ac:dyDescent="0.3">
      <c r="B11" s="9" t="s">
        <v>15</v>
      </c>
      <c r="D11" s="9" t="s">
        <v>18</v>
      </c>
      <c r="F11" s="9" t="s">
        <v>18</v>
      </c>
      <c r="H11" s="9" t="s">
        <v>18</v>
      </c>
    </row>
    <row r="12" spans="1:8" ht="26.4" x14ac:dyDescent="0.3">
      <c r="B12" s="9" t="s">
        <v>40</v>
      </c>
      <c r="D12" s="9" t="s">
        <v>29</v>
      </c>
      <c r="F12" s="9" t="s">
        <v>16</v>
      </c>
      <c r="H12" s="9" t="s">
        <v>16</v>
      </c>
    </row>
    <row r="13" spans="1:8" ht="26.4" x14ac:dyDescent="0.3">
      <c r="B13" s="9" t="s">
        <v>27</v>
      </c>
      <c r="D13" s="9" t="s">
        <v>32</v>
      </c>
      <c r="F13" s="9" t="s">
        <v>32</v>
      </c>
      <c r="H13" s="9" t="s">
        <v>32</v>
      </c>
    </row>
    <row r="14" spans="1:8" ht="53.4" thickBot="1" x14ac:dyDescent="0.35">
      <c r="B14" s="9"/>
      <c r="D14" s="9" t="s">
        <v>19</v>
      </c>
      <c r="F14" s="9" t="s">
        <v>20</v>
      </c>
      <c r="H14" s="9" t="s">
        <v>21</v>
      </c>
    </row>
    <row r="15" spans="1:8" ht="27" thickBot="1" x14ac:dyDescent="0.35">
      <c r="B15" s="12" t="s">
        <v>23</v>
      </c>
      <c r="D15" s="9" t="s">
        <v>31</v>
      </c>
      <c r="F15" s="9" t="s">
        <v>31</v>
      </c>
      <c r="H15" s="9" t="s">
        <v>22</v>
      </c>
    </row>
    <row r="16" spans="1:8" ht="53.4" thickBot="1" x14ac:dyDescent="0.35">
      <c r="B16" s="10" t="s">
        <v>26</v>
      </c>
      <c r="D16" s="9"/>
      <c r="F16" s="9"/>
      <c r="H16" s="9" t="s">
        <v>36</v>
      </c>
    </row>
    <row r="17" spans="2:8" ht="93" thickBot="1" x14ac:dyDescent="0.35">
      <c r="B17" s="9" t="s">
        <v>24</v>
      </c>
      <c r="D17" s="12" t="s">
        <v>23</v>
      </c>
      <c r="F17" s="12" t="s">
        <v>23</v>
      </c>
      <c r="H17" s="9"/>
    </row>
    <row r="18" spans="2:8" ht="66.599999999999994" thickBot="1" x14ac:dyDescent="0.35">
      <c r="B18" s="11" t="s">
        <v>25</v>
      </c>
      <c r="D18" s="10" t="s">
        <v>26</v>
      </c>
      <c r="F18" s="10" t="s">
        <v>26</v>
      </c>
      <c r="H18" s="12" t="s">
        <v>23</v>
      </c>
    </row>
    <row r="19" spans="2:8" ht="26.4" x14ac:dyDescent="0.3">
      <c r="D19" s="10" t="s">
        <v>28</v>
      </c>
      <c r="F19" s="10" t="s">
        <v>28</v>
      </c>
      <c r="H19" s="10" t="s">
        <v>26</v>
      </c>
    </row>
    <row r="20" spans="2:8" ht="79.2" x14ac:dyDescent="0.3">
      <c r="B20" s="7"/>
      <c r="D20" s="9" t="s">
        <v>33</v>
      </c>
      <c r="F20" s="9" t="s">
        <v>34</v>
      </c>
      <c r="H20" s="10" t="s">
        <v>28</v>
      </c>
    </row>
    <row r="21" spans="2:8" ht="79.8" thickBot="1" x14ac:dyDescent="0.35">
      <c r="D21" s="11" t="s">
        <v>30</v>
      </c>
      <c r="F21" s="11" t="s">
        <v>35</v>
      </c>
      <c r="H21" s="9" t="s">
        <v>38</v>
      </c>
    </row>
    <row r="22" spans="2:8" ht="53.4" thickBot="1" x14ac:dyDescent="0.35">
      <c r="H22" s="11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CEC3-88D1-4379-A4AA-A052096AE452}">
  <dimension ref="B2:N20"/>
  <sheetViews>
    <sheetView tabSelected="1" workbookViewId="0">
      <selection activeCell="B9" sqref="B9"/>
    </sheetView>
  </sheetViews>
  <sheetFormatPr baseColWidth="10" defaultRowHeight="13.8" x14ac:dyDescent="0.3"/>
  <cols>
    <col min="1" max="1" width="11.5546875" style="15"/>
    <col min="2" max="2" width="19.77734375" style="15" customWidth="1"/>
    <col min="3" max="4" width="21.44140625" style="15" customWidth="1"/>
    <col min="5" max="5" width="21.5546875" style="15" bestFit="1" customWidth="1"/>
    <col min="6" max="6" width="21.88671875" style="15" bestFit="1" customWidth="1"/>
    <col min="7" max="14" width="21.44140625" style="15" customWidth="1"/>
    <col min="15" max="16384" width="11.5546875" style="15"/>
  </cols>
  <sheetData>
    <row r="2" spans="2:14" ht="27.6" x14ac:dyDescent="0.3">
      <c r="C2" s="26" t="s">
        <v>41</v>
      </c>
      <c r="D2" s="26" t="s">
        <v>42</v>
      </c>
    </row>
    <row r="3" spans="2:14" x14ac:dyDescent="0.3">
      <c r="C3" s="27">
        <v>50</v>
      </c>
      <c r="D3" s="27">
        <v>50</v>
      </c>
    </row>
    <row r="6" spans="2:14" s="16" customFormat="1" ht="31.2" x14ac:dyDescent="0.3">
      <c r="B6" s="17" t="s">
        <v>54</v>
      </c>
      <c r="C6" s="17" t="s">
        <v>43</v>
      </c>
      <c r="D6" s="17" t="s">
        <v>44</v>
      </c>
      <c r="E6" s="17" t="s">
        <v>46</v>
      </c>
      <c r="F6" s="17" t="s">
        <v>47</v>
      </c>
      <c r="G6" s="17" t="s">
        <v>48</v>
      </c>
      <c r="H6" s="17" t="s">
        <v>56</v>
      </c>
      <c r="I6" s="17" t="s">
        <v>45</v>
      </c>
      <c r="J6" s="17" t="s">
        <v>49</v>
      </c>
      <c r="K6" s="17" t="s">
        <v>50</v>
      </c>
      <c r="L6" s="17" t="s">
        <v>51</v>
      </c>
      <c r="M6" s="17" t="s">
        <v>52</v>
      </c>
      <c r="N6" s="17" t="s">
        <v>53</v>
      </c>
    </row>
    <row r="7" spans="2:14" x14ac:dyDescent="0.3">
      <c r="B7" s="22" t="s">
        <v>1</v>
      </c>
      <c r="C7" s="18">
        <v>3</v>
      </c>
      <c r="D7" s="18">
        <v>6</v>
      </c>
      <c r="E7" s="19">
        <f>C7*$C$3</f>
        <v>150</v>
      </c>
      <c r="F7" s="19">
        <f>D7*($C$3+$D$3)</f>
        <v>600</v>
      </c>
      <c r="G7" s="19">
        <f>(E7+F7)/2</f>
        <v>375</v>
      </c>
      <c r="H7" s="20">
        <v>60</v>
      </c>
      <c r="I7" s="19">
        <f>E7*H7</f>
        <v>9000</v>
      </c>
      <c r="J7" s="19">
        <f>F7*H7</f>
        <v>36000</v>
      </c>
      <c r="K7" s="19">
        <f>G7*H7</f>
        <v>22500</v>
      </c>
      <c r="L7" s="19">
        <f>I7*12</f>
        <v>108000</v>
      </c>
      <c r="M7" s="19">
        <f>J7*12</f>
        <v>432000</v>
      </c>
      <c r="N7" s="19">
        <f>K7*12</f>
        <v>270000</v>
      </c>
    </row>
    <row r="8" spans="2:14" x14ac:dyDescent="0.3">
      <c r="B8" s="22" t="s">
        <v>2</v>
      </c>
      <c r="C8" s="18">
        <v>7</v>
      </c>
      <c r="D8" s="18">
        <v>15</v>
      </c>
      <c r="E8" s="19">
        <f>C8*$C$3</f>
        <v>350</v>
      </c>
      <c r="F8" s="19">
        <f>D8*($C$3+$D$3)</f>
        <v>1500</v>
      </c>
      <c r="G8" s="19">
        <f>(E8+F8)/2</f>
        <v>925</v>
      </c>
      <c r="H8" s="20">
        <v>25</v>
      </c>
      <c r="I8" s="19">
        <f>E8*H8</f>
        <v>8750</v>
      </c>
      <c r="J8" s="19">
        <f>F8*H8</f>
        <v>37500</v>
      </c>
      <c r="K8" s="19">
        <f>G8*H8</f>
        <v>23125</v>
      </c>
      <c r="L8" s="19">
        <f>I8*12</f>
        <v>105000</v>
      </c>
      <c r="M8" s="19">
        <f>J8*12</f>
        <v>450000</v>
      </c>
      <c r="N8" s="19">
        <f>K8*12</f>
        <v>277500</v>
      </c>
    </row>
    <row r="9" spans="2:14" x14ac:dyDescent="0.3">
      <c r="B9" s="22" t="s">
        <v>3</v>
      </c>
      <c r="C9" s="18">
        <v>16</v>
      </c>
      <c r="D9" s="18">
        <v>25</v>
      </c>
      <c r="E9" s="19">
        <f>C9*$C$3</f>
        <v>800</v>
      </c>
      <c r="F9" s="19">
        <f>D9*($C$3+$D$3)</f>
        <v>2500</v>
      </c>
      <c r="G9" s="19">
        <f>(E9+F9)/2</f>
        <v>1650</v>
      </c>
      <c r="H9" s="20">
        <v>15</v>
      </c>
      <c r="I9" s="19">
        <f>E9*H9</f>
        <v>12000</v>
      </c>
      <c r="J9" s="19">
        <f>F9*H9</f>
        <v>37500</v>
      </c>
      <c r="K9" s="19">
        <f>G9*H9</f>
        <v>24750</v>
      </c>
      <c r="L9" s="19">
        <f>I9*12</f>
        <v>144000</v>
      </c>
      <c r="M9" s="19">
        <f>J9*12</f>
        <v>450000</v>
      </c>
      <c r="N9" s="19">
        <f>K9*12</f>
        <v>297000</v>
      </c>
    </row>
    <row r="10" spans="2:14" x14ac:dyDescent="0.3">
      <c r="B10" s="22" t="s">
        <v>4</v>
      </c>
      <c r="C10" s="18">
        <v>25</v>
      </c>
      <c r="D10" s="18">
        <v>50</v>
      </c>
      <c r="E10" s="19">
        <f>C10*$C$3</f>
        <v>1250</v>
      </c>
      <c r="F10" s="19">
        <f>D10*($C$3+$D$3)</f>
        <v>5000</v>
      </c>
      <c r="G10" s="19">
        <f>(E10+F10)/2</f>
        <v>3125</v>
      </c>
      <c r="H10" s="20">
        <v>1</v>
      </c>
      <c r="I10" s="19">
        <f>E10*H10</f>
        <v>1250</v>
      </c>
      <c r="J10" s="19">
        <f>F10*H10</f>
        <v>5000</v>
      </c>
      <c r="K10" s="19">
        <f>G10*H10</f>
        <v>3125</v>
      </c>
      <c r="L10" s="19">
        <f>I10*12</f>
        <v>15000</v>
      </c>
      <c r="M10" s="19">
        <f>J10*12</f>
        <v>60000</v>
      </c>
      <c r="N10" s="19">
        <f>K10*12</f>
        <v>37500</v>
      </c>
    </row>
    <row r="11" spans="2:14" x14ac:dyDescent="0.3">
      <c r="B11" s="23" t="s">
        <v>55</v>
      </c>
      <c r="C11" s="24"/>
      <c r="D11" s="24"/>
      <c r="E11" s="25">
        <f t="shared" ref="E11:N11" si="0">SUM(E7:E10)</f>
        <v>2550</v>
      </c>
      <c r="F11" s="25">
        <f t="shared" si="0"/>
        <v>9600</v>
      </c>
      <c r="G11" s="25">
        <f t="shared" si="0"/>
        <v>6075</v>
      </c>
      <c r="H11" s="28">
        <f t="shared" si="0"/>
        <v>101</v>
      </c>
      <c r="I11" s="25">
        <f t="shared" si="0"/>
        <v>31000</v>
      </c>
      <c r="J11" s="25">
        <f t="shared" si="0"/>
        <v>116000</v>
      </c>
      <c r="K11" s="25">
        <f t="shared" si="0"/>
        <v>73500</v>
      </c>
      <c r="L11" s="25">
        <f t="shared" si="0"/>
        <v>372000</v>
      </c>
      <c r="M11" s="25">
        <f t="shared" si="0"/>
        <v>1392000</v>
      </c>
      <c r="N11" s="25">
        <f t="shared" si="0"/>
        <v>882000</v>
      </c>
    </row>
    <row r="14" spans="2:14" x14ac:dyDescent="0.3">
      <c r="E14" s="21"/>
      <c r="F14" s="21"/>
      <c r="G14" s="21"/>
    </row>
    <row r="15" spans="2:14" ht="15.6" x14ac:dyDescent="0.3">
      <c r="B15" s="17" t="s">
        <v>54</v>
      </c>
      <c r="C15" s="17" t="s">
        <v>43</v>
      </c>
      <c r="D15" s="17" t="s">
        <v>44</v>
      </c>
      <c r="E15" s="31" t="s">
        <v>57</v>
      </c>
      <c r="F15" s="31" t="s">
        <v>58</v>
      </c>
    </row>
    <row r="16" spans="2:14" x14ac:dyDescent="0.3">
      <c r="B16" s="22" t="s">
        <v>1</v>
      </c>
      <c r="C16" s="18">
        <v>3</v>
      </c>
      <c r="D16" s="18">
        <v>6</v>
      </c>
      <c r="E16" s="29">
        <f>C16*H7</f>
        <v>180</v>
      </c>
      <c r="F16" s="29">
        <f>D16*H7</f>
        <v>360</v>
      </c>
    </row>
    <row r="17" spans="2:6" x14ac:dyDescent="0.3">
      <c r="B17" s="22" t="s">
        <v>2</v>
      </c>
      <c r="C17" s="18">
        <v>7</v>
      </c>
      <c r="D17" s="18">
        <v>15</v>
      </c>
      <c r="E17" s="29">
        <f t="shared" ref="E17:E19" si="1">C17*H8</f>
        <v>175</v>
      </c>
      <c r="F17" s="29">
        <f t="shared" ref="F17:F19" si="2">D17*H8</f>
        <v>375</v>
      </c>
    </row>
    <row r="18" spans="2:6" x14ac:dyDescent="0.3">
      <c r="B18" s="22" t="s">
        <v>3</v>
      </c>
      <c r="C18" s="18">
        <v>16</v>
      </c>
      <c r="D18" s="18">
        <v>25</v>
      </c>
      <c r="E18" s="29">
        <f t="shared" si="1"/>
        <v>240</v>
      </c>
      <c r="F18" s="29">
        <f t="shared" si="2"/>
        <v>375</v>
      </c>
    </row>
    <row r="19" spans="2:6" x14ac:dyDescent="0.3">
      <c r="B19" s="22" t="s">
        <v>4</v>
      </c>
      <c r="C19" s="18">
        <v>25</v>
      </c>
      <c r="D19" s="18">
        <v>50</v>
      </c>
      <c r="E19" s="29">
        <f t="shared" si="1"/>
        <v>25</v>
      </c>
      <c r="F19" s="29">
        <f t="shared" si="2"/>
        <v>50</v>
      </c>
    </row>
    <row r="20" spans="2:6" x14ac:dyDescent="0.3">
      <c r="B20" s="30" t="s">
        <v>55</v>
      </c>
      <c r="C20" s="32">
        <f t="shared" ref="C20:D20" si="3">SUM(C16:C19)</f>
        <v>51</v>
      </c>
      <c r="D20" s="32">
        <f t="shared" si="3"/>
        <v>96</v>
      </c>
      <c r="E20" s="32">
        <f>SUM(E16:E19)</f>
        <v>620</v>
      </c>
      <c r="F20" s="32">
        <f>SUM(F16:F19)</f>
        <v>1160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Beneficios de alianza</vt:lpstr>
      <vt:lpstr>Proyección económica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Siurob Ramirez</dc:creator>
  <cp:lastModifiedBy>Alberto Siurob Ramirez</cp:lastModifiedBy>
  <dcterms:created xsi:type="dcterms:W3CDTF">2025-01-21T18:54:40Z</dcterms:created>
  <dcterms:modified xsi:type="dcterms:W3CDTF">2025-01-22T00:06:56Z</dcterms:modified>
</cp:coreProperties>
</file>